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9ED949D7-070B-4974-9E6F-18559A8C63D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6" i="1"/>
  <c r="B17" i="1"/>
  <c r="B18" i="1"/>
  <c r="B19" i="1"/>
  <c r="B14" i="1"/>
  <c r="F2" i="1"/>
  <c r="F3" i="1"/>
  <c r="F4" i="1"/>
  <c r="F5" i="1"/>
  <c r="F6" i="1"/>
  <c r="F7" i="1"/>
  <c r="F8" i="1"/>
  <c r="F9" i="1"/>
  <c r="F10" i="1"/>
  <c r="F11" i="1"/>
  <c r="I2" i="1"/>
  <c r="I5" i="1"/>
  <c r="I4" i="1"/>
  <c r="I3" i="1"/>
</calcChain>
</file>

<file path=xl/sharedStrings.xml><?xml version="1.0" encoding="utf-8"?>
<sst xmlns="http://schemas.openxmlformats.org/spreadsheetml/2006/main" count="38" uniqueCount="23">
  <si>
    <t>Data</t>
  </si>
  <si>
    <t>Produto</t>
  </si>
  <si>
    <t>Categoria</t>
  </si>
  <si>
    <t>Quantidade</t>
  </si>
  <si>
    <t>Preço Unitário</t>
  </si>
  <si>
    <t>Total</t>
  </si>
  <si>
    <t>Resumo</t>
  </si>
  <si>
    <t>Mouse</t>
  </si>
  <si>
    <t>Periféricos</t>
  </si>
  <si>
    <t>Faturamento total</t>
  </si>
  <si>
    <t>Teclado</t>
  </si>
  <si>
    <t>média por venda</t>
  </si>
  <si>
    <t>Monitor</t>
  </si>
  <si>
    <t>Monitores</t>
  </si>
  <si>
    <t>maior venda</t>
  </si>
  <si>
    <t>Headset</t>
  </si>
  <si>
    <t>Áudio</t>
  </si>
  <si>
    <t>menor venda</t>
  </si>
  <si>
    <t>Webcam</t>
  </si>
  <si>
    <t>Vídeo</t>
  </si>
  <si>
    <t>Mouse Pad</t>
  </si>
  <si>
    <t>Acessórios</t>
  </si>
  <si>
    <t>Produto   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</si>
</sst>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4">
    <dxf>
      <numFmt numFmtId="165" formatCode="&quot;$&quot;#,##0.00"/>
    </dxf>
    <dxf>
      <numFmt numFmtId="165" formatCode="&quot;$&quot;#,##0.0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Produto</a:t>
            </a:r>
          </a:p>
        </c:rich>
      </c:tx>
      <c:layout>
        <c:manualLayout>
          <c:xMode val="edge"/>
          <c:yMode val="edge"/>
          <c:x val="0.28795125027820923"/>
          <c:y val="3.81948937532608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{"total de vendas"}</c:f>
              <c:strCache>
                <c:ptCount val="1"/>
                <c:pt idx="0">
                  <c:v>total de 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Planilha1!$A$14:$A$19</c:f>
              <c:strCache>
                <c:ptCount val="6"/>
                <c:pt idx="0">
                  <c:v>Mouse</c:v>
                </c:pt>
                <c:pt idx="1">
                  <c:v>Teclado</c:v>
                </c:pt>
                <c:pt idx="2">
                  <c:v>Monitor</c:v>
                </c:pt>
                <c:pt idx="3">
                  <c:v>Headset</c:v>
                </c:pt>
                <c:pt idx="4">
                  <c:v>Webcam</c:v>
                </c:pt>
                <c:pt idx="5">
                  <c:v>Mouse Pad</c:v>
                </c:pt>
              </c:strCache>
            </c:strRef>
          </c:cat>
          <c:val>
            <c:numRef>
              <c:f>Planilha1!$B$14:$B$19</c:f>
              <c:numCache>
                <c:formatCode>General</c:formatCode>
                <c:ptCount val="6"/>
                <c:pt idx="0">
                  <c:v>160</c:v>
                </c:pt>
                <c:pt idx="1">
                  <c:v>450</c:v>
                </c:pt>
                <c:pt idx="2">
                  <c:v>2700</c:v>
                </c:pt>
                <c:pt idx="3">
                  <c:v>480</c:v>
                </c:pt>
                <c:pt idx="4">
                  <c:v>600</c:v>
                </c:pt>
                <c:pt idx="5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8D4-4C05-984A-66BF96EE3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8386183"/>
        <c:axId val="1712800775"/>
      </c:barChart>
      <c:catAx>
        <c:axId val="278386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800775"/>
        <c:crosses val="autoZero"/>
        <c:auto val="1"/>
        <c:lblAlgn val="ctr"/>
        <c:lblOffset val="100"/>
        <c:noMultiLvlLbl val="0"/>
      </c:catAx>
      <c:valAx>
        <c:axId val="1712800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86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0422353455818"/>
          <c:y val="0.90243000874890633"/>
          <c:w val="0.2205059055118110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19</xdr:row>
      <xdr:rowOff>180975</xdr:rowOff>
    </xdr:from>
    <xdr:to>
      <xdr:col>5</xdr:col>
      <xdr:colOff>561975</xdr:colOff>
      <xdr:row>34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7B1E87-099D-91FD-890A-D014BD1A2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51CCE6-CD74-48E7-93BF-18459E98014A}" name="Tabela2" displayName="Tabela2" ref="A1:F11" totalsRowShown="0" headerRowDxfId="3">
  <autoFilter ref="A1:F11" xr:uid="{9E51CCE6-CD74-48E7-93BF-18459E98014A}"/>
  <tableColumns count="6">
    <tableColumn id="1" xr3:uid="{E00FA1E9-B8BC-41E6-B224-9C95E36DC4FE}" name="Data" dataDxfId="2"/>
    <tableColumn id="2" xr3:uid="{A1487B95-9942-44C5-AFC8-94B33AEAB2F8}" name="Produto"/>
    <tableColumn id="3" xr3:uid="{A0871CD5-11D0-4FC4-92FD-29F82BDCCAD3}" name="Categoria"/>
    <tableColumn id="4" xr3:uid="{C12AD358-457A-42A1-AC95-DFB27971991B}" name="Quantidade"/>
    <tableColumn id="5" xr3:uid="{468109E2-2DDE-42D0-9E58-426386C04106}" name="Preço Unitário" dataDxfId="1"/>
    <tableColumn id="6" xr3:uid="{80B7AC61-EDC2-4024-8213-7DD4AA1AC2E1}" name="Total" dataDxfId="0">
      <calculatedColumnFormula>D2*E2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A13" sqref="A13:B19"/>
    </sheetView>
  </sheetViews>
  <sheetFormatPr defaultRowHeight="15"/>
  <cols>
    <col min="1" max="1" width="9.28515625" style="1" bestFit="1" customWidth="1"/>
    <col min="2" max="2" width="10.85546875" bestFit="1" customWidth="1"/>
    <col min="3" max="3" width="12" bestFit="1" customWidth="1"/>
    <col min="4" max="4" width="14" bestFit="1" customWidth="1"/>
    <col min="5" max="5" width="16.28515625" style="5" bestFit="1" customWidth="1"/>
    <col min="6" max="6" width="9.140625" style="5"/>
    <col min="8" max="8" width="17.42578125" bestFit="1" customWidth="1"/>
  </cols>
  <sheetData>
    <row r="1" spans="1:9">
      <c r="A1" s="3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H1" t="s">
        <v>6</v>
      </c>
    </row>
    <row r="2" spans="1:9">
      <c r="A2" s="1">
        <v>46026</v>
      </c>
      <c r="B2" t="s">
        <v>7</v>
      </c>
      <c r="C2" t="s">
        <v>8</v>
      </c>
      <c r="D2">
        <v>2</v>
      </c>
      <c r="E2" s="5">
        <v>80</v>
      </c>
      <c r="F2" s="5">
        <f>D2*E2</f>
        <v>160</v>
      </c>
      <c r="H2" t="s">
        <v>9</v>
      </c>
      <c r="I2" s="5">
        <f>SUM(F2:F11)</f>
        <v>4530</v>
      </c>
    </row>
    <row r="3" spans="1:9">
      <c r="A3" s="1">
        <v>46026</v>
      </c>
      <c r="B3" t="s">
        <v>10</v>
      </c>
      <c r="C3" t="s">
        <v>8</v>
      </c>
      <c r="D3">
        <v>1</v>
      </c>
      <c r="E3" s="5">
        <v>150</v>
      </c>
      <c r="F3" s="5">
        <f t="shared" ref="F3:F11" si="0">D3*E3</f>
        <v>150</v>
      </c>
      <c r="H3" t="s">
        <v>11</v>
      </c>
      <c r="I3" s="5">
        <f>AVERAGE(F2:F11)</f>
        <v>453</v>
      </c>
    </row>
    <row r="4" spans="1:9">
      <c r="A4" s="1">
        <v>46057</v>
      </c>
      <c r="B4" t="s">
        <v>12</v>
      </c>
      <c r="C4" t="s">
        <v>13</v>
      </c>
      <c r="D4">
        <v>1</v>
      </c>
      <c r="E4" s="5">
        <v>900</v>
      </c>
      <c r="F4" s="5">
        <f t="shared" si="0"/>
        <v>900</v>
      </c>
      <c r="H4" t="s">
        <v>14</v>
      </c>
      <c r="I4" s="5">
        <f>MAX(F2:F11)</f>
        <v>1800</v>
      </c>
    </row>
    <row r="5" spans="1:9">
      <c r="A5" s="1">
        <v>46057</v>
      </c>
      <c r="B5" t="s">
        <v>15</v>
      </c>
      <c r="C5" t="s">
        <v>16</v>
      </c>
      <c r="D5">
        <v>3</v>
      </c>
      <c r="E5" s="5">
        <v>120</v>
      </c>
      <c r="F5" s="5">
        <f t="shared" si="0"/>
        <v>360</v>
      </c>
      <c r="H5" t="s">
        <v>17</v>
      </c>
      <c r="I5" s="5">
        <f>MIN(F2:F11)</f>
        <v>120</v>
      </c>
    </row>
    <row r="6" spans="1:9">
      <c r="A6" s="1">
        <v>46085</v>
      </c>
      <c r="B6" t="s">
        <v>18</v>
      </c>
      <c r="C6" t="s">
        <v>19</v>
      </c>
      <c r="D6">
        <v>2</v>
      </c>
      <c r="E6" s="5">
        <v>200</v>
      </c>
      <c r="F6" s="5">
        <f t="shared" si="0"/>
        <v>400</v>
      </c>
    </row>
    <row r="7" spans="1:9">
      <c r="A7" s="1">
        <v>46085</v>
      </c>
      <c r="B7" t="s">
        <v>20</v>
      </c>
      <c r="C7" t="s">
        <v>21</v>
      </c>
      <c r="D7">
        <v>4</v>
      </c>
      <c r="E7" s="5">
        <v>35</v>
      </c>
      <c r="F7" s="5">
        <f t="shared" si="0"/>
        <v>140</v>
      </c>
    </row>
    <row r="8" spans="1:9">
      <c r="A8" s="1">
        <v>46116</v>
      </c>
      <c r="B8" t="s">
        <v>10</v>
      </c>
      <c r="C8" t="s">
        <v>8</v>
      </c>
      <c r="D8">
        <v>2</v>
      </c>
      <c r="E8" s="5">
        <v>150</v>
      </c>
      <c r="F8" s="5">
        <f t="shared" si="0"/>
        <v>300</v>
      </c>
    </row>
    <row r="9" spans="1:9">
      <c r="A9" s="1">
        <v>46116</v>
      </c>
      <c r="B9" t="s">
        <v>15</v>
      </c>
      <c r="C9" t="s">
        <v>16</v>
      </c>
      <c r="D9">
        <v>1</v>
      </c>
      <c r="E9" s="5">
        <v>120</v>
      </c>
      <c r="F9" s="5">
        <f t="shared" si="0"/>
        <v>120</v>
      </c>
    </row>
    <row r="10" spans="1:9">
      <c r="A10" s="1">
        <v>46146</v>
      </c>
      <c r="B10" t="s">
        <v>12</v>
      </c>
      <c r="C10" t="s">
        <v>13</v>
      </c>
      <c r="D10">
        <v>2</v>
      </c>
      <c r="E10" s="5">
        <v>900</v>
      </c>
      <c r="F10" s="5">
        <f t="shared" si="0"/>
        <v>1800</v>
      </c>
    </row>
    <row r="11" spans="1:9">
      <c r="A11" s="1">
        <v>46146</v>
      </c>
      <c r="B11" t="s">
        <v>18</v>
      </c>
      <c r="C11" t="s">
        <v>19</v>
      </c>
      <c r="D11">
        <v>1</v>
      </c>
      <c r="E11" s="5">
        <v>200</v>
      </c>
      <c r="F11" s="5">
        <f t="shared" si="0"/>
        <v>200</v>
      </c>
    </row>
    <row r="13" spans="1:9">
      <c r="A13" s="6" t="s">
        <v>22</v>
      </c>
      <c r="B13" s="6"/>
      <c r="C13" s="6"/>
      <c r="D13" s="6"/>
      <c r="E13" s="6"/>
    </row>
    <row r="14" spans="1:9">
      <c r="A14" s="6" t="s">
        <v>7</v>
      </c>
      <c r="B14" s="6">
        <f>SUMIF(B2:B11,A14,F2:F11)</f>
        <v>160</v>
      </c>
      <c r="C14" s="6"/>
      <c r="D14" s="6"/>
      <c r="E14" s="6"/>
    </row>
    <row r="15" spans="1:9">
      <c r="A15" s="6" t="s">
        <v>10</v>
      </c>
      <c r="B15" s="6">
        <f t="shared" ref="B15:B19" si="1">SUMIF(B3:B12,A15,F3:F12)</f>
        <v>450</v>
      </c>
      <c r="C15" s="6"/>
      <c r="D15" s="6"/>
      <c r="E15" s="6"/>
    </row>
    <row r="16" spans="1:9">
      <c r="A16" s="6" t="s">
        <v>12</v>
      </c>
      <c r="B16" s="6">
        <f t="shared" si="1"/>
        <v>2700</v>
      </c>
      <c r="C16" s="6"/>
      <c r="D16" s="6"/>
      <c r="E16" s="6"/>
    </row>
    <row r="17" spans="1:5">
      <c r="A17" s="6" t="s">
        <v>15</v>
      </c>
      <c r="B17" s="6">
        <f t="shared" si="1"/>
        <v>480</v>
      </c>
      <c r="C17" s="6"/>
      <c r="D17" s="6"/>
      <c r="E17" s="6"/>
    </row>
    <row r="18" spans="1:5">
      <c r="A18" s="6" t="s">
        <v>18</v>
      </c>
      <c r="B18" s="6">
        <f t="shared" si="1"/>
        <v>600</v>
      </c>
      <c r="C18" s="6"/>
      <c r="D18" s="6"/>
      <c r="E18" s="6"/>
    </row>
    <row r="19" spans="1:5">
      <c r="A19" s="7" t="s">
        <v>20</v>
      </c>
      <c r="B19" s="6">
        <f t="shared" si="1"/>
        <v>140</v>
      </c>
      <c r="C19" s="6"/>
      <c r="D19" s="6"/>
      <c r="E19" s="6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2026-03-25T19:23:03Z</dcterms:created>
  <dcterms:modified xsi:type="dcterms:W3CDTF">2026-03-25T20:22:51Z</dcterms:modified>
  <cp:category/>
  <cp:contentStatus/>
</cp:coreProperties>
</file>