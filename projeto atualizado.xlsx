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F1A\EXCELCNV\84e7f5cc-ccd6-4445-8c66-13be8421fe49\"/>
    </mc:Choice>
  </mc:AlternateContent>
  <xr:revisionPtr revIDLastSave="0" documentId="8_{E36B7801-42A1-4F46-8682-B1A9FA293170}" xr6:coauthVersionLast="47" xr6:coauthVersionMax="47" xr10:uidLastSave="{00000000-0000-0000-0000-000000000000}"/>
  <bookViews>
    <workbookView xWindow="-60" yWindow="-60" windowWidth="15480" windowHeight="11640" activeTab="2" xr2:uid="{00000000-000D-0000-FFFF-FFFF00000000}"/>
  </bookViews>
  <sheets>
    <sheet name="Base_Dados" sheetId="1" r:id="rId1"/>
    <sheet name="Dashboard" sheetId="3" r:id="rId2"/>
    <sheet name="Analises" sheetId="2" r:id="rId3"/>
  </sheets>
  <definedNames>
    <definedName name="assdsadsa">Tabela22[]</definedName>
    <definedName name="SegmentaçãodeDados_Categoria">#N/A</definedName>
  </definedNames>
  <calcPr calcId="191028"/>
  <pivotCaches>
    <pivotCache cacheId="5136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I2" i="1"/>
  <c r="I5" i="1"/>
  <c r="I4" i="1"/>
  <c r="I3" i="1"/>
</calcChain>
</file>

<file path=xl/sharedStrings.xml><?xml version="1.0" encoding="utf-8"?>
<sst xmlns="http://schemas.openxmlformats.org/spreadsheetml/2006/main" count="55" uniqueCount="27">
  <si>
    <t>Data</t>
  </si>
  <si>
    <t>Produto</t>
  </si>
  <si>
    <t>Categoria</t>
  </si>
  <si>
    <t>Quantidade</t>
  </si>
  <si>
    <t>Preço Unitário</t>
  </si>
  <si>
    <t>Total</t>
  </si>
  <si>
    <t>Resumo</t>
  </si>
  <si>
    <t>Mouse</t>
  </si>
  <si>
    <t>Periféricos</t>
  </si>
  <si>
    <t>Faturamento total</t>
  </si>
  <si>
    <t>Teclado</t>
  </si>
  <si>
    <t>média por venda</t>
  </si>
  <si>
    <t>Monitor</t>
  </si>
  <si>
    <t>Monitores</t>
  </si>
  <si>
    <t>maior venda</t>
  </si>
  <si>
    <t>Headset</t>
  </si>
  <si>
    <t>Áudio</t>
  </si>
  <si>
    <t>menor venda</t>
  </si>
  <si>
    <t>Webcam</t>
  </si>
  <si>
    <t>Vídeo</t>
  </si>
  <si>
    <t>Mouse Pad</t>
  </si>
  <si>
    <t>Acessórios</t>
  </si>
  <si>
    <t>Dashboard de vendas</t>
  </si>
  <si>
    <t>Faturamento Total
R$ 4.530</t>
  </si>
  <si>
    <t>(Tudo)</t>
  </si>
  <si>
    <t>Soma de Total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</si>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</sst>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.00"/>
    <numFmt numFmtId="165" formatCode="[$R$-416]\ #,##0"/>
    <numFmt numFmtId="166" formatCode="[$R$-416]\ 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2"/>
      <color rgb="FF000000"/>
      <name val="Calibri"/>
      <scheme val="minor"/>
    </font>
    <font>
      <b/>
      <sz val="14"/>
      <color rgb="FF000000"/>
      <name val="Calibri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0" fillId="0" borderId="0" xfId="0" applyNumberFormat="1"/>
    <xf numFmtId="0" fontId="0" fillId="0" borderId="0" xfId="0" pivotButton="1"/>
    <xf numFmtId="165" fontId="0" fillId="0" borderId="0" xfId="0" applyNumberFormat="1"/>
    <xf numFmtId="165" fontId="1" fillId="2" borderId="1" xfId="0" applyNumberFormat="1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wrapText="1"/>
    </xf>
    <xf numFmtId="0" fontId="4" fillId="0" borderId="0" xfId="0" pivotButton="1" applyFont="1"/>
    <xf numFmtId="0" fontId="4" fillId="0" borderId="0" xfId="0" applyFont="1"/>
    <xf numFmtId="165" fontId="4" fillId="0" borderId="0" xfId="0" applyNumberFormat="1" applyFont="1"/>
    <xf numFmtId="43" fontId="4" fillId="0" borderId="2" xfId="0" applyNumberFormat="1" applyFont="1" applyBorder="1"/>
    <xf numFmtId="43" fontId="4" fillId="0" borderId="2" xfId="0" applyNumberFormat="1" applyFont="1" applyBorder="1" applyAlignment="1">
      <alignment horizontal="right"/>
    </xf>
    <xf numFmtId="165" fontId="1" fillId="0" borderId="0" xfId="0" applyNumberFormat="1" applyFont="1"/>
    <xf numFmtId="166" fontId="0" fillId="0" borderId="0" xfId="0" applyNumberFormat="1"/>
    <xf numFmtId="0" fontId="5" fillId="0" borderId="0" xfId="0" applyFont="1"/>
  </cellXfs>
  <cellStyles count="1">
    <cellStyle name="Normal" xfId="0" builtinId="0"/>
  </cellStyles>
  <dxfs count="14">
    <dxf>
      <numFmt numFmtId="165" formatCode="[$R$-416]\ #,##0"/>
    </dxf>
    <dxf>
      <numFmt numFmtId="165" formatCode="[$R$-416]\ #,##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[$R$-416]\ #,##0"/>
    </dxf>
    <dxf>
      <numFmt numFmtId="165" formatCode="[$R$-416]\ #,##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[$R$-416]\ #,##0"/>
    </dxf>
    <dxf>
      <numFmt numFmtId="165" formatCode="[$R$-416]\ 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[projeto.xlsx]Dashboard!Tabela dinâmica1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Produto </a:t>
            </a:r>
          </a:p>
        </c:rich>
      </c:tx>
      <c:layout>
        <c:manualLayout>
          <c:xMode val="edge"/>
          <c:yMode val="edge"/>
          <c:x val="0.25296524852842794"/>
          <c:y val="2.5000000000000005E-2"/>
        </c:manualLayout>
      </c:layout>
      <c:overlay val="0"/>
      <c:spPr>
        <a:solidFill>
          <a:srgbClr val="FFFFFF"/>
        </a:solidFill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03764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03764"/>
          </a:solidFill>
          <a:ln>
            <a:solidFill>
              <a:srgbClr val="4472C4"/>
            </a:solidFill>
            <a:prstDash val="solid"/>
          </a:ln>
          <a:effectLst/>
        </c:spPr>
      </c:pivotFmt>
      <c:pivotFmt>
        <c:idx val="2"/>
        <c:spPr>
          <a:solidFill>
            <a:srgbClr val="203764"/>
          </a:solidFill>
          <a:ln>
            <a:solidFill>
              <a:srgbClr val="4472C4"/>
            </a:solidFill>
            <a:prstDash val="solid"/>
          </a:ln>
          <a:effectLst/>
        </c:spPr>
      </c:pivotFmt>
      <c:pivotFmt>
        <c:idx val="3"/>
        <c:spPr>
          <a:solidFill>
            <a:srgbClr val="203764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03764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03764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03764"/>
          </a:solidFill>
          <a:ln>
            <a:solidFill>
              <a:srgbClr val="30549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Dashboard!$AT$8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Dashboard!$AS$9:$AS$15</c:f>
              <c:strCache>
                <c:ptCount val="6"/>
                <c:pt idx="0">
                  <c:v>Monitor</c:v>
                </c:pt>
                <c:pt idx="1">
                  <c:v>Webcam</c:v>
                </c:pt>
                <c:pt idx="2">
                  <c:v>Headset</c:v>
                </c:pt>
                <c:pt idx="3">
                  <c:v>Teclado</c:v>
                </c:pt>
                <c:pt idx="4">
                  <c:v>Mouse</c:v>
                </c:pt>
                <c:pt idx="5">
                  <c:v>Mouse Pad</c:v>
                </c:pt>
              </c:strCache>
            </c:strRef>
          </c:cat>
          <c:val>
            <c:numRef>
              <c:f>Dashboard!$AT$9:$AT$15</c:f>
              <c:numCache>
                <c:formatCode>[$R$-416]\ #,##0</c:formatCode>
                <c:ptCount val="6"/>
                <c:pt idx="0">
                  <c:v>2700</c:v>
                </c:pt>
                <c:pt idx="1">
                  <c:v>600</c:v>
                </c:pt>
                <c:pt idx="2">
                  <c:v>480</c:v>
                </c:pt>
                <c:pt idx="3">
                  <c:v>450</c:v>
                </c:pt>
                <c:pt idx="4">
                  <c:v>160</c:v>
                </c:pt>
                <c:pt idx="5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11-48DA-B498-1679B2B8B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overlap val="-27"/>
        <c:axId val="330795016"/>
        <c:axId val="1072121864"/>
      </c:barChart>
      <c:catAx>
        <c:axId val="330795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21864"/>
        <c:crosses val="autoZero"/>
        <c:auto val="1"/>
        <c:lblAlgn val="ctr"/>
        <c:lblOffset val="100"/>
        <c:noMultiLvlLbl val="0"/>
      </c:catAx>
      <c:valAx>
        <c:axId val="107212186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solidFill>
            <a:srgbClr val="FFFFFF"/>
          </a:solidFill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795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57150</xdr:rowOff>
    </xdr:from>
    <xdr:to>
      <xdr:col>1</xdr:col>
      <xdr:colOff>600075</xdr:colOff>
      <xdr:row>23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15FED0-622B-4AE6-8010-9172E1BDFE5A}"/>
            </a:ext>
            <a:ext uri="{147F2762-F138-4A5C-976F-8EAC2B608ADB}">
              <a16:predDERef xmlns:a16="http://schemas.microsoft.com/office/drawing/2014/main" pred="{C0ABFD26-88EA-466A-9BE7-CA2FC8DF8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9525</xdr:colOff>
      <xdr:row>0</xdr:row>
      <xdr:rowOff>485775</xdr:rowOff>
    </xdr:from>
    <xdr:to>
      <xdr:col>5</xdr:col>
      <xdr:colOff>152400</xdr:colOff>
      <xdr:row>23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ategoria 1">
              <a:extLst>
                <a:ext uri="{FF2B5EF4-FFF2-40B4-BE49-F238E27FC236}">
                  <a16:creationId xmlns:a16="http://schemas.microsoft.com/office/drawing/2014/main" id="{75ECF0D6-77E3-EF5A-BF4A-550E876A57AD}"/>
                </a:ext>
                <a:ext uri="{147F2762-F138-4A5C-976F-8EAC2B608ADB}">
                  <a16:predDERef xmlns:a16="http://schemas.microsoft.com/office/drawing/2014/main" pred="{D315FED0-622B-4AE6-8010-9172E1BDFE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8675" y="209550"/>
              <a:ext cx="2457450" cy="449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476250</xdr:colOff>
      <xdr:row>24</xdr:row>
      <xdr:rowOff>28575</xdr:rowOff>
    </xdr:from>
    <xdr:to>
      <xdr:col>38</xdr:col>
      <xdr:colOff>476250</xdr:colOff>
      <xdr:row>34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ia 2">
              <a:extLst>
                <a:ext uri="{FF2B5EF4-FFF2-40B4-BE49-F238E27FC236}">
                  <a16:creationId xmlns:a16="http://schemas.microsoft.com/office/drawing/2014/main" id="{3CB9B999-A4CE-37D4-1D7D-C436ADC63AD3}"/>
                </a:ext>
                <a:ext uri="{147F2762-F138-4A5C-976F-8EAC2B608ADB}">
                  <a16:predDERef xmlns:a16="http://schemas.microsoft.com/office/drawing/2014/main" pred="{8C9CF64A-97F6-F7B9-2DDC-B1E6D1C7F9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72350" y="1685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6.982336458335" createdVersion="8" refreshedVersion="8" minRefreshableVersion="3" recordCount="10" xr:uid="{2235223D-58E3-48DF-A28B-63A993784890}">
  <cacheSource type="worksheet">
    <worksheetSource name="Tabela22"/>
  </cacheSource>
  <cacheFields count="6">
    <cacheField name="Data" numFmtId="14">
      <sharedItems containsSemiMixedTypes="0" containsNonDate="0" containsDate="1" containsString="0" minDate="2026-01-04T00:00:00" maxDate="2026-05-05T00:00:00"/>
    </cacheField>
    <cacheField name="Produto" numFmtId="0">
      <sharedItems count="6">
        <s v="Mouse"/>
        <s v="Teclado"/>
        <s v="Monitor"/>
        <s v="Headset"/>
        <s v="Webcam"/>
        <s v="Mouse Pad"/>
      </sharedItems>
    </cacheField>
    <cacheField name="Categoria" numFmtId="0">
      <sharedItems count="5">
        <s v="Periféricos"/>
        <s v="Monitores"/>
        <s v="Áudio"/>
        <s v="Vídeo"/>
        <s v="Acessórios"/>
      </sharedItems>
    </cacheField>
    <cacheField name="Quantidade" numFmtId="0">
      <sharedItems containsSemiMixedTypes="0" containsString="0" containsNumber="1" containsInteger="1" minValue="1" maxValue="4"/>
    </cacheField>
    <cacheField name="Preço Unitário" numFmtId="164">
      <sharedItems containsSemiMixedTypes="0" containsString="0" containsNumber="1" containsInteger="1" minValue="35" maxValue="900"/>
    </cacheField>
    <cacheField name="Total" numFmtId="164">
      <sharedItems containsSemiMixedTypes="0" containsString="0" containsNumber="1" containsInteger="1" minValue="120" maxValue="1800"/>
    </cacheField>
  </cacheFields>
  <extLst>
    <ext xmlns:x14="http://schemas.microsoft.com/office/spreadsheetml/2009/9/main" uri="{725AE2AE-9491-48be-B2B4-4EB974FC3084}">
      <x14:pivotCacheDefinition pivotCacheId="2582797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1-04T00:00:00"/>
    <x v="0"/>
    <x v="0"/>
    <n v="2"/>
    <n v="80"/>
    <n v="160"/>
  </r>
  <r>
    <d v="2026-01-04T00:00:00"/>
    <x v="1"/>
    <x v="0"/>
    <n v="1"/>
    <n v="150"/>
    <n v="150"/>
  </r>
  <r>
    <d v="2026-02-04T00:00:00"/>
    <x v="2"/>
    <x v="1"/>
    <n v="1"/>
    <n v="900"/>
    <n v="900"/>
  </r>
  <r>
    <d v="2026-02-04T00:00:00"/>
    <x v="3"/>
    <x v="2"/>
    <n v="3"/>
    <n v="120"/>
    <n v="360"/>
  </r>
  <r>
    <d v="2026-03-04T00:00:00"/>
    <x v="4"/>
    <x v="3"/>
    <n v="2"/>
    <n v="200"/>
    <n v="400"/>
  </r>
  <r>
    <d v="2026-03-04T00:00:00"/>
    <x v="5"/>
    <x v="4"/>
    <n v="4"/>
    <n v="35"/>
    <n v="140"/>
  </r>
  <r>
    <d v="2026-04-04T00:00:00"/>
    <x v="1"/>
    <x v="0"/>
    <n v="2"/>
    <n v="150"/>
    <n v="300"/>
  </r>
  <r>
    <d v="2026-04-04T00:00:00"/>
    <x v="3"/>
    <x v="2"/>
    <n v="1"/>
    <n v="120"/>
    <n v="120"/>
  </r>
  <r>
    <d v="2026-05-04T00:00:00"/>
    <x v="2"/>
    <x v="1"/>
    <n v="2"/>
    <n v="900"/>
    <n v="1800"/>
  </r>
  <r>
    <d v="2026-05-04T00:00:00"/>
    <x v="4"/>
    <x v="3"/>
    <n v="1"/>
    <n v="200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2D085-3A1F-40D6-92FC-EF22789DE27C}" name="Tabela dinâmica1" cacheId="51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 fieldListSortAscending="1">
  <location ref="AS8:AT15" firstHeaderRow="1" firstDataRow="1" firstDataCol="1" rowPageCount="1" colPageCount="1"/>
  <pivotFields count="6">
    <pivotField compact="0" outline="0" showAll="0"/>
    <pivotField axis="axisRow" compact="0" outline="0" showAll="0" sortType="descending">
      <items count="7">
        <item x="3"/>
        <item x="2"/>
        <item x="0"/>
        <item x="5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6">
        <item x="4"/>
        <item x="2"/>
        <item x="1"/>
        <item x="0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7">
    <i>
      <x v="1"/>
    </i>
    <i>
      <x v="5"/>
    </i>
    <i>
      <x/>
    </i>
    <i>
      <x v="4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oma de Total" fld="5" baseField="0" baseItem="0" numFmtId="165"/>
  </dataFields>
  <formats count="2">
    <format dxfId="12">
      <pivotArea outline="0" collapsedLevelsAreSubtotals="1" fieldPosition="0"/>
    </format>
    <format dxfId="13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0E37C-FA93-462C-B13E-B619B82FA315}" name="Tabela dinâmica4" cacheId="51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7" fieldListSortAscending="1">
  <location ref="A3:B10" firstHeaderRow="1" firstDataRow="1" firstDataCol="1" rowPageCount="1" colPageCount="1"/>
  <pivotFields count="6">
    <pivotField compact="0" outline="0" showAll="0"/>
    <pivotField axis="axisRow" compact="0" outline="0" showAll="0" sortType="descending">
      <items count="7">
        <item x="3"/>
        <item x="2"/>
        <item x="0"/>
        <item x="5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6">
        <item x="4"/>
        <item x="2"/>
        <item x="1"/>
        <item x="0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7">
    <i>
      <x v="1"/>
    </i>
    <i>
      <x v="5"/>
    </i>
    <i>
      <x/>
    </i>
    <i>
      <x v="4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oma de Total" fld="5" baseField="0" baseItem="0" numFmtId="165"/>
  </dataFields>
  <formats count="8">
    <format dxfId="4">
      <pivotArea outline="0" collapsedLevelsAreSubtotals="1" fieldPosition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outline="0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2613365B-C1EB-496E-9520-55215D5A2260}" sourceName="Categoria">
  <pivotTables>
    <pivotTable tabId="2" name="Tabela dinâmica4"/>
    <pivotTable tabId="3" name="Tabela dinâmica1"/>
  </pivotTables>
  <data>
    <tabular pivotCacheId="258279724">
      <items count="5">
        <i x="4" s="1"/>
        <i x="2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9B4C5F8F-2644-4590-94AE-03282F186FCB}" cache="SegmentaçãodeDados_Categoria" caption="Categoria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2" xr10:uid="{27CB3267-9AEE-4BB9-880A-E8B49067DC5A}" cache="SegmentaçãodeDados_Categoria" caption="Categoria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51CCE6-CD74-48E7-93BF-18459E98014A}" name="Tabela22" displayName="Tabela22" ref="A1:F11" totalsRowShown="0" headerRowDxfId="3">
  <autoFilter ref="A1:F11" xr:uid="{9E51CCE6-CD74-48E7-93BF-18459E98014A}"/>
  <tableColumns count="6">
    <tableColumn id="1" xr3:uid="{E00FA1E9-B8BC-41E6-B224-9C95E36DC4FE}" name="Data" dataDxfId="2"/>
    <tableColumn id="2" xr3:uid="{A1487B95-9942-44C5-AFC8-94B33AEAB2F8}" name="Produto"/>
    <tableColumn id="3" xr3:uid="{A0871CD5-11D0-4FC4-92FD-29F82BDCCAD3}" name="Categoria"/>
    <tableColumn id="4" xr3:uid="{C12AD358-457A-42A1-AC95-DFB27971991B}" name="Quantidade"/>
    <tableColumn id="5" xr3:uid="{468109E2-2DDE-42D0-9E58-426386C04106}" name="Preço Unitário" dataDxfId="1"/>
    <tableColumn id="6" xr3:uid="{80B7AC61-EDC2-4024-8213-7DD4AA1AC2E1}" name="Total" dataDxfId="0">
      <calculatedColumnFormula>D2*E2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G19" sqref="G19"/>
    </sheetView>
  </sheetViews>
  <sheetFormatPr defaultRowHeight="15"/>
  <cols>
    <col min="1" max="1" width="9.28515625" style="1" bestFit="1" customWidth="1"/>
    <col min="2" max="2" width="10.85546875" bestFit="1" customWidth="1"/>
    <col min="3" max="3" width="12" bestFit="1" customWidth="1"/>
    <col min="4" max="4" width="14" bestFit="1" customWidth="1"/>
    <col min="5" max="5" width="16.28515625" style="4" bestFit="1" customWidth="1"/>
    <col min="6" max="6" width="9.140625" style="4"/>
    <col min="8" max="8" width="20" customWidth="1"/>
    <col min="9" max="9" width="11.42578125" bestFit="1" customWidth="1"/>
  </cols>
  <sheetData>
    <row r="1" spans="1:9" ht="15.75" customHeight="1">
      <c r="A1" s="3" t="s">
        <v>0</v>
      </c>
      <c r="B1" s="2" t="s">
        <v>1</v>
      </c>
      <c r="C1" s="2" t="s">
        <v>2</v>
      </c>
      <c r="D1" s="2" t="s">
        <v>3</v>
      </c>
      <c r="E1" s="16" t="s">
        <v>4</v>
      </c>
      <c r="F1" s="16" t="s">
        <v>5</v>
      </c>
      <c r="H1" t="s">
        <v>6</v>
      </c>
    </row>
    <row r="2" spans="1:9">
      <c r="A2" s="1">
        <v>46026</v>
      </c>
      <c r="B2" t="s">
        <v>7</v>
      </c>
      <c r="C2" t="s">
        <v>8</v>
      </c>
      <c r="D2">
        <v>2</v>
      </c>
      <c r="E2" s="6">
        <v>80</v>
      </c>
      <c r="F2" s="6">
        <f t="shared" ref="F2:F11" si="0">D2*E2</f>
        <v>160</v>
      </c>
      <c r="H2" t="s">
        <v>9</v>
      </c>
      <c r="I2" s="17">
        <f>SUM(F2:F11)</f>
        <v>4530</v>
      </c>
    </row>
    <row r="3" spans="1:9">
      <c r="A3" s="1">
        <v>46026</v>
      </c>
      <c r="B3" t="s">
        <v>10</v>
      </c>
      <c r="C3" t="s">
        <v>8</v>
      </c>
      <c r="D3">
        <v>1</v>
      </c>
      <c r="E3" s="6">
        <v>150</v>
      </c>
      <c r="F3" s="6">
        <f t="shared" si="0"/>
        <v>150</v>
      </c>
      <c r="H3" t="s">
        <v>11</v>
      </c>
      <c r="I3" s="17">
        <f>AVERAGE(F2:F11)</f>
        <v>453</v>
      </c>
    </row>
    <row r="4" spans="1:9">
      <c r="A4" s="1">
        <v>46057</v>
      </c>
      <c r="B4" t="s">
        <v>12</v>
      </c>
      <c r="C4" t="s">
        <v>13</v>
      </c>
      <c r="D4">
        <v>1</v>
      </c>
      <c r="E4" s="6">
        <v>900</v>
      </c>
      <c r="F4" s="6">
        <f t="shared" si="0"/>
        <v>900</v>
      </c>
      <c r="H4" t="s">
        <v>14</v>
      </c>
      <c r="I4" s="17">
        <f>MAX(F2:F11)</f>
        <v>1800</v>
      </c>
    </row>
    <row r="5" spans="1:9">
      <c r="A5" s="1">
        <v>46057</v>
      </c>
      <c r="B5" t="s">
        <v>15</v>
      </c>
      <c r="C5" t="s">
        <v>16</v>
      </c>
      <c r="D5">
        <v>3</v>
      </c>
      <c r="E5" s="6">
        <v>120</v>
      </c>
      <c r="F5" s="6">
        <f t="shared" si="0"/>
        <v>360</v>
      </c>
      <c r="H5" t="s">
        <v>17</v>
      </c>
      <c r="I5" s="17">
        <f>MIN(F2:F11)</f>
        <v>120</v>
      </c>
    </row>
    <row r="6" spans="1:9">
      <c r="A6" s="1">
        <v>46085</v>
      </c>
      <c r="B6" t="s">
        <v>18</v>
      </c>
      <c r="C6" t="s">
        <v>19</v>
      </c>
      <c r="D6">
        <v>2</v>
      </c>
      <c r="E6" s="6">
        <v>200</v>
      </c>
      <c r="F6" s="6">
        <f t="shared" si="0"/>
        <v>400</v>
      </c>
    </row>
    <row r="7" spans="1:9">
      <c r="A7" s="1">
        <v>46085</v>
      </c>
      <c r="B7" t="s">
        <v>20</v>
      </c>
      <c r="C7" t="s">
        <v>21</v>
      </c>
      <c r="D7">
        <v>4</v>
      </c>
      <c r="E7" s="6">
        <v>35</v>
      </c>
      <c r="F7" s="6">
        <f t="shared" si="0"/>
        <v>140</v>
      </c>
    </row>
    <row r="8" spans="1:9">
      <c r="A8" s="1">
        <v>46116</v>
      </c>
      <c r="B8" t="s">
        <v>10</v>
      </c>
      <c r="C8" t="s">
        <v>8</v>
      </c>
      <c r="D8">
        <v>2</v>
      </c>
      <c r="E8" s="6">
        <v>150</v>
      </c>
      <c r="F8" s="6">
        <f t="shared" si="0"/>
        <v>300</v>
      </c>
    </row>
    <row r="9" spans="1:9">
      <c r="A9" s="1">
        <v>46116</v>
      </c>
      <c r="B9" t="s">
        <v>15</v>
      </c>
      <c r="C9" t="s">
        <v>16</v>
      </c>
      <c r="D9">
        <v>1</v>
      </c>
      <c r="E9" s="6">
        <v>120</v>
      </c>
      <c r="F9" s="6">
        <f t="shared" si="0"/>
        <v>120</v>
      </c>
    </row>
    <row r="10" spans="1:9">
      <c r="A10" s="1">
        <v>46146</v>
      </c>
      <c r="B10" t="s">
        <v>12</v>
      </c>
      <c r="C10" t="s">
        <v>13</v>
      </c>
      <c r="D10">
        <v>2</v>
      </c>
      <c r="E10" s="6">
        <v>900</v>
      </c>
      <c r="F10" s="6">
        <f t="shared" si="0"/>
        <v>1800</v>
      </c>
    </row>
    <row r="11" spans="1:9">
      <c r="A11" s="1">
        <v>46146</v>
      </c>
      <c r="B11" t="s">
        <v>18</v>
      </c>
      <c r="C11" t="s">
        <v>19</v>
      </c>
      <c r="D11">
        <v>1</v>
      </c>
      <c r="E11" s="6">
        <v>200</v>
      </c>
      <c r="F11" s="6">
        <f t="shared" si="0"/>
        <v>200</v>
      </c>
    </row>
    <row r="13" spans="1:9">
      <c r="E13"/>
    </row>
    <row r="14" spans="1:9">
      <c r="E14"/>
    </row>
    <row r="15" spans="1:9">
      <c r="E15"/>
    </row>
    <row r="19" spans="7:7">
      <c r="G19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A7D5-4C81-408D-8ABC-9EED2F11BC2C}">
  <dimension ref="A1:AT15"/>
  <sheetViews>
    <sheetView workbookViewId="0">
      <selection activeCell="M21" sqref="M21"/>
    </sheetView>
  </sheetViews>
  <sheetFormatPr defaultRowHeight="15"/>
  <cols>
    <col min="1" max="1" width="53.85546875" customWidth="1"/>
    <col min="3" max="3" width="11.5703125" bestFit="1" customWidth="1"/>
    <col min="4" max="4" width="14" customWidth="1"/>
    <col min="13" max="13" width="11.5703125" bestFit="1" customWidth="1"/>
    <col min="14" max="14" width="14" bestFit="1" customWidth="1"/>
    <col min="39" max="39" width="11.5703125" bestFit="1" customWidth="1"/>
    <col min="40" max="40" width="14" bestFit="1" customWidth="1"/>
    <col min="45" max="45" width="11.5703125" bestFit="1" customWidth="1"/>
    <col min="46" max="46" width="14" bestFit="1" customWidth="1"/>
  </cols>
  <sheetData>
    <row r="1" spans="1:46" ht="42">
      <c r="A1" s="9" t="s">
        <v>22</v>
      </c>
    </row>
    <row r="2" spans="1:46" ht="37.5">
      <c r="A2" s="10" t="s">
        <v>23</v>
      </c>
      <c r="B2" s="7"/>
      <c r="H2" s="8"/>
    </row>
    <row r="6" spans="1:46">
      <c r="AS6" s="5" t="s">
        <v>2</v>
      </c>
      <c r="AT6" t="s">
        <v>24</v>
      </c>
    </row>
    <row r="7" spans="1:46">
      <c r="AT7" s="4"/>
    </row>
    <row r="8" spans="1:46">
      <c r="AS8" s="5" t="s">
        <v>1</v>
      </c>
      <c r="AT8" s="6" t="s">
        <v>25</v>
      </c>
    </row>
    <row r="9" spans="1:46">
      <c r="AS9" t="s">
        <v>12</v>
      </c>
      <c r="AT9" s="6">
        <v>2700</v>
      </c>
    </row>
    <row r="10" spans="1:46">
      <c r="AS10" t="s">
        <v>18</v>
      </c>
      <c r="AT10" s="6">
        <v>600</v>
      </c>
    </row>
    <row r="11" spans="1:46">
      <c r="AS11" t="s">
        <v>15</v>
      </c>
      <c r="AT11" s="6">
        <v>480</v>
      </c>
    </row>
    <row r="12" spans="1:46">
      <c r="AS12" t="s">
        <v>10</v>
      </c>
      <c r="AT12" s="6">
        <v>450</v>
      </c>
    </row>
    <row r="13" spans="1:46">
      <c r="AS13" t="s">
        <v>7</v>
      </c>
      <c r="AT13" s="6">
        <v>160</v>
      </c>
    </row>
    <row r="14" spans="1:46">
      <c r="AS14" t="s">
        <v>20</v>
      </c>
      <c r="AT14" s="6">
        <v>140</v>
      </c>
    </row>
    <row r="15" spans="1:46">
      <c r="AS15" t="s">
        <v>26</v>
      </c>
      <c r="AT15" s="6">
        <v>4530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9178-3920-42B7-AA06-799AE164A32D}">
  <dimension ref="A1:B10"/>
  <sheetViews>
    <sheetView tabSelected="1" workbookViewId="0">
      <selection activeCell="B2" sqref="B2"/>
    </sheetView>
  </sheetViews>
  <sheetFormatPr defaultRowHeight="15"/>
  <cols>
    <col min="1" max="1" width="14.5703125" bestFit="1" customWidth="1"/>
    <col min="2" max="2" width="17.5703125" bestFit="1" customWidth="1"/>
    <col min="3" max="4" width="7.140625" bestFit="1" customWidth="1"/>
    <col min="5" max="6" width="11" bestFit="1" customWidth="1"/>
  </cols>
  <sheetData>
    <row r="1" spans="1:2" ht="18.75">
      <c r="A1" s="11" t="s">
        <v>2</v>
      </c>
      <c r="B1" s="12" t="s">
        <v>24</v>
      </c>
    </row>
    <row r="2" spans="1:2" ht="18.75">
      <c r="A2" s="14"/>
      <c r="B2" s="15"/>
    </row>
    <row r="3" spans="1:2" ht="18.75">
      <c r="A3" s="11" t="s">
        <v>1</v>
      </c>
      <c r="B3" s="13" t="s">
        <v>25</v>
      </c>
    </row>
    <row r="4" spans="1:2" ht="18.75">
      <c r="A4" s="12" t="s">
        <v>12</v>
      </c>
      <c r="B4" s="13">
        <v>2700</v>
      </c>
    </row>
    <row r="5" spans="1:2" ht="18.75">
      <c r="A5" s="12" t="s">
        <v>18</v>
      </c>
      <c r="B5" s="13">
        <v>600</v>
      </c>
    </row>
    <row r="6" spans="1:2" ht="18.75">
      <c r="A6" s="12" t="s">
        <v>15</v>
      </c>
      <c r="B6" s="13">
        <v>480</v>
      </c>
    </row>
    <row r="7" spans="1:2" ht="18.75">
      <c r="A7" s="12" t="s">
        <v>10</v>
      </c>
      <c r="B7" s="13">
        <v>450</v>
      </c>
    </row>
    <row r="8" spans="1:2" ht="18.75">
      <c r="A8" s="12" t="s">
        <v>7</v>
      </c>
      <c r="B8" s="13">
        <v>160</v>
      </c>
    </row>
    <row r="9" spans="1:2" ht="18.75">
      <c r="A9" s="12" t="s">
        <v>20</v>
      </c>
      <c r="B9" s="13">
        <v>140</v>
      </c>
    </row>
    <row r="10" spans="1:2" ht="18.75">
      <c r="A10" s="12" t="s">
        <v>26</v>
      </c>
      <c r="B10" s="13">
        <v>4530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2026-03-25T19:23:03Z</dcterms:created>
  <dcterms:modified xsi:type="dcterms:W3CDTF">2026-03-26T02:50:25Z</dcterms:modified>
  <cp:category/>
  <cp:contentStatus/>
</cp:coreProperties>
</file>